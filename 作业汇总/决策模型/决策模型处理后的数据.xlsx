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szxy\Desktop\"/>
    </mc:Choice>
  </mc:AlternateContent>
  <xr:revisionPtr revIDLastSave="0" documentId="13_ncr:1_{794AE3D6-ACED-486B-8D60-669692A13B6F}" xr6:coauthVersionLast="47" xr6:coauthVersionMax="47" xr10:uidLastSave="{00000000-0000-0000-0000-000000000000}"/>
  <bookViews>
    <workbookView xWindow="960" yWindow="1730" windowWidth="19200" windowHeight="11170" activeTab="2" xr2:uid="{00000000-000D-0000-FFFF-FFFF00000000}"/>
  </bookViews>
  <sheets>
    <sheet name="AHP判断矩阵" sheetId="2" r:id="rId1"/>
    <sheet name="AHP综合评分" sheetId="1" r:id="rId2"/>
    <sheet name="topsis综合评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<sst xmlns="http://schemas.openxmlformats.org/spreadsheetml/2006/main" count="40" uniqueCount="20">
  <si>
    <t>小王</t>
  </si>
  <si>
    <t>小张</t>
  </si>
  <si>
    <t>小刘</t>
  </si>
  <si>
    <t>小杨</t>
  </si>
  <si>
    <t>小苗</t>
  </si>
  <si>
    <t>小朱</t>
  </si>
  <si>
    <t>小汪</t>
  </si>
  <si>
    <t>小黄</t>
  </si>
  <si>
    <t>小孟</t>
  </si>
  <si>
    <t>小赵</t>
  </si>
  <si>
    <t>理论课成绩</t>
  </si>
  <si>
    <t>理论课成绩</t>
    <phoneticPr fontId="1" type="noConversion"/>
  </si>
  <si>
    <t>实践课成绩</t>
  </si>
  <si>
    <t>实践课成绩</t>
    <phoneticPr fontId="1" type="noConversion"/>
  </si>
  <si>
    <t>德育表现</t>
  </si>
  <si>
    <t>德育表现</t>
    <phoneticPr fontId="1" type="noConversion"/>
  </si>
  <si>
    <t>100米成绩</t>
    <phoneticPr fontId="1" type="noConversion"/>
  </si>
  <si>
    <t>姓名</t>
  </si>
  <si>
    <t>100米跑步</t>
  </si>
  <si>
    <t>综合评分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</si>
</sst>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E33D-472F-49AF-947D-794B331100D6}">
  <dimension ref="A1:E5"/>
  <sheetViews>
    <sheetView zoomScale="175" zoomScaleNormal="175" workbookViewId="0">
      <selection activeCell="B11" sqref="B11"/>
    </sheetView>
  </sheetViews>
  <sheetFormatPr defaultRowHeight="14" x14ac:dyDescent="0.3"/>
  <cols>
    <col min="1" max="1" width="10.4140625" bestFit="1" customWidth="1"/>
    <col min="2" max="2" width="9.6640625" bestFit="1" customWidth="1"/>
    <col min="3" max="4" width="10.4140625" bestFit="1" customWidth="1"/>
    <col min="5" max="5" width="8.5" bestFit="1" customWidth="1"/>
  </cols>
  <sheetData>
    <row r="1" spans="1:5" ht="31.5" thickBot="1" x14ac:dyDescent="0.35">
      <c r="A1" s="1"/>
      <c r="B1" s="1" t="s">
        <v>16</v>
      </c>
      <c r="C1" s="1" t="s">
        <v>11</v>
      </c>
      <c r="D1" s="1" t="s">
        <v>13</v>
      </c>
      <c r="E1" s="1" t="s">
        <v>15</v>
      </c>
    </row>
    <row r="2" spans="1:5" ht="16" thickBot="1" x14ac:dyDescent="0.35">
      <c r="A2" s="1" t="s">
        <v>16</v>
      </c>
      <c r="B2" s="1">
        <v>1</v>
      </c>
      <c r="C2" s="1">
        <v>0.1111111111111111</v>
      </c>
      <c r="D2" s="1">
        <v>0.25</v>
      </c>
      <c r="E2" s="1">
        <v>0.2</v>
      </c>
    </row>
    <row r="3" spans="1:5" ht="31.5" thickBot="1" x14ac:dyDescent="0.35">
      <c r="A3" s="1" t="s">
        <v>11</v>
      </c>
      <c r="B3" s="1">
        <v>9</v>
      </c>
      <c r="C3" s="1">
        <v>1</v>
      </c>
      <c r="D3" s="1">
        <v>2</v>
      </c>
      <c r="E3" s="1">
        <v>2</v>
      </c>
    </row>
    <row r="4" spans="1:5" ht="31.5" thickBot="1" x14ac:dyDescent="0.35">
      <c r="A4" s="1" t="s">
        <v>13</v>
      </c>
      <c r="B4" s="1">
        <v>4</v>
      </c>
      <c r="C4" s="1">
        <v>0.5</v>
      </c>
      <c r="D4" s="1">
        <v>1</v>
      </c>
      <c r="E4" s="1">
        <v>1</v>
      </c>
    </row>
    <row r="5" spans="1:5" ht="16" thickBot="1" x14ac:dyDescent="0.35">
      <c r="A5" s="1" t="s">
        <v>15</v>
      </c>
      <c r="B5" s="1">
        <v>5</v>
      </c>
      <c r="C5" s="1">
        <v>0.5</v>
      </c>
      <c r="D5" s="1">
        <v>1</v>
      </c>
      <c r="E5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45" zoomScaleNormal="145" workbookViewId="0">
      <selection activeCell="D27" sqref="D27"/>
    </sheetView>
  </sheetViews>
  <sheetFormatPr defaultRowHeight="14" x14ac:dyDescent="0.3"/>
  <cols>
    <col min="2" max="2" width="12.33203125" bestFit="1" customWidth="1"/>
    <col min="3" max="4" width="10.4140625" bestFit="1" customWidth="1"/>
    <col min="5" max="5" width="8.5" bestFit="1" customWidth="1"/>
  </cols>
  <sheetData>
    <row r="1" spans="1:6" x14ac:dyDescent="0.3">
      <c r="A1" s="2" t="s">
        <v>17</v>
      </c>
      <c r="B1" s="2" t="s">
        <v>18</v>
      </c>
      <c r="C1" s="2" t="s">
        <v>10</v>
      </c>
      <c r="D1" s="2" t="s">
        <v>12</v>
      </c>
      <c r="E1" s="2" t="s">
        <v>14</v>
      </c>
      <c r="F1" s="2" t="s">
        <v>19</v>
      </c>
    </row>
    <row r="2" spans="1:6" x14ac:dyDescent="0.3">
      <c r="A2" s="2" t="s">
        <v>0</v>
      </c>
      <c r="B2" s="2">
        <v>0</v>
      </c>
      <c r="C2" s="2">
        <v>95</v>
      </c>
      <c r="D2" s="2">
        <v>100</v>
      </c>
      <c r="E2" s="2">
        <v>95</v>
      </c>
      <c r="F2" s="2">
        <f>B2*0.05+C2*0.47+D2*0.23+E2*0.24</f>
        <v>90.45</v>
      </c>
    </row>
    <row r="3" spans="1:6" x14ac:dyDescent="0.3">
      <c r="A3" s="2" t="s">
        <v>1</v>
      </c>
      <c r="B3" s="2">
        <v>16.455696202531652</v>
      </c>
      <c r="C3" s="2">
        <v>86</v>
      </c>
      <c r="D3" s="2">
        <v>100</v>
      </c>
      <c r="E3" s="2">
        <v>95</v>
      </c>
      <c r="F3" s="2">
        <f t="shared" ref="F3:F11" si="0">B3*0.05+C3*0.47+D3*0.23+E3*0.24</f>
        <v>87.042784810126577</v>
      </c>
    </row>
    <row r="4" spans="1:6" x14ac:dyDescent="0.3">
      <c r="A4" s="2" t="s">
        <v>2</v>
      </c>
      <c r="B4" s="2">
        <v>100.00000000000003</v>
      </c>
      <c r="C4" s="2">
        <v>90</v>
      </c>
      <c r="D4" s="2">
        <v>100</v>
      </c>
      <c r="E4" s="2">
        <v>85</v>
      </c>
      <c r="F4" s="2">
        <f t="shared" si="0"/>
        <v>90.699999999999989</v>
      </c>
    </row>
    <row r="5" spans="1:6" x14ac:dyDescent="0.3">
      <c r="A5" s="2" t="s">
        <v>3</v>
      </c>
      <c r="B5" s="2">
        <v>50.632911392405092</v>
      </c>
      <c r="C5" s="2">
        <v>93</v>
      </c>
      <c r="D5" s="2">
        <v>0</v>
      </c>
      <c r="E5" s="2">
        <v>75</v>
      </c>
      <c r="F5" s="2">
        <f t="shared" si="0"/>
        <v>64.24164556962026</v>
      </c>
    </row>
    <row r="6" spans="1:6" x14ac:dyDescent="0.3">
      <c r="A6" s="2" t="s">
        <v>4</v>
      </c>
      <c r="B6" s="2">
        <v>34.177215189873451</v>
      </c>
      <c r="C6" s="2">
        <v>88</v>
      </c>
      <c r="D6" s="2">
        <v>100</v>
      </c>
      <c r="E6" s="2">
        <v>60</v>
      </c>
      <c r="F6" s="2">
        <f t="shared" si="0"/>
        <v>80.46886075949368</v>
      </c>
    </row>
    <row r="7" spans="1:6" x14ac:dyDescent="0.3">
      <c r="A7" s="2" t="s">
        <v>5</v>
      </c>
      <c r="B7" s="2">
        <v>70.886075949367097</v>
      </c>
      <c r="C7" s="2">
        <v>99</v>
      </c>
      <c r="D7" s="2">
        <v>100</v>
      </c>
      <c r="E7" s="2">
        <v>85</v>
      </c>
      <c r="F7" s="2">
        <f t="shared" si="0"/>
        <v>93.474303797468338</v>
      </c>
    </row>
    <row r="8" spans="1:6" x14ac:dyDescent="0.3">
      <c r="A8" s="2" t="s">
        <v>6</v>
      </c>
      <c r="B8" s="2">
        <v>51.898734177215204</v>
      </c>
      <c r="C8" s="2">
        <v>83</v>
      </c>
      <c r="D8" s="2">
        <v>100</v>
      </c>
      <c r="E8" s="2">
        <v>95</v>
      </c>
      <c r="F8" s="2">
        <f t="shared" si="0"/>
        <v>87.404936708860745</v>
      </c>
    </row>
    <row r="9" spans="1:6" x14ac:dyDescent="0.3">
      <c r="A9" s="2" t="s">
        <v>7</v>
      </c>
      <c r="B9" s="2">
        <v>7.5949367088607778</v>
      </c>
      <c r="C9" s="2">
        <v>91</v>
      </c>
      <c r="D9" s="2">
        <v>0</v>
      </c>
      <c r="E9" s="2">
        <v>85</v>
      </c>
      <c r="F9" s="2">
        <f t="shared" si="0"/>
        <v>63.549746835443031</v>
      </c>
    </row>
    <row r="10" spans="1:6" x14ac:dyDescent="0.3">
      <c r="A10" s="2" t="s">
        <v>8</v>
      </c>
      <c r="B10" s="2">
        <v>86.075949367088612</v>
      </c>
      <c r="C10" s="2">
        <v>95</v>
      </c>
      <c r="D10" s="2">
        <v>100</v>
      </c>
      <c r="E10" s="2">
        <v>85</v>
      </c>
      <c r="F10" s="2">
        <f t="shared" si="0"/>
        <v>92.353797468354429</v>
      </c>
    </row>
    <row r="11" spans="1:6" x14ac:dyDescent="0.3">
      <c r="A11" s="2" t="s">
        <v>9</v>
      </c>
      <c r="B11" s="2">
        <v>45.569620253164572</v>
      </c>
      <c r="C11" s="2">
        <v>87</v>
      </c>
      <c r="D11" s="2">
        <v>100</v>
      </c>
      <c r="E11" s="2">
        <v>85</v>
      </c>
      <c r="F11" s="2">
        <f t="shared" si="0"/>
        <v>86.568481012658225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2C3E-99A9-44B3-9EEA-A1DB5E25275A}">
  <dimension ref="A1:F11"/>
  <sheetViews>
    <sheetView tabSelected="1" zoomScale="145" zoomScaleNormal="145" workbookViewId="0">
      <selection activeCell="F10" sqref="F10"/>
    </sheetView>
  </sheetViews>
  <sheetFormatPr defaultRowHeight="14" x14ac:dyDescent="0.3"/>
  <cols>
    <col min="2" max="2" width="9.6640625" bestFit="1" customWidth="1"/>
    <col min="3" max="4" width="10.4140625" bestFit="1" customWidth="1"/>
    <col min="7" max="7" width="7.9140625" customWidth="1"/>
  </cols>
  <sheetData>
    <row r="1" spans="1:6" x14ac:dyDescent="0.3">
      <c r="A1" s="2" t="s">
        <v>17</v>
      </c>
      <c r="B1" s="2" t="s">
        <v>18</v>
      </c>
      <c r="C1" s="2" t="s">
        <v>10</v>
      </c>
      <c r="D1" s="2" t="s">
        <v>12</v>
      </c>
      <c r="E1" s="2" t="s">
        <v>14</v>
      </c>
      <c r="F1" s="2" t="s">
        <v>19</v>
      </c>
    </row>
    <row r="2" spans="1:6" x14ac:dyDescent="0.3">
      <c r="A2" s="2" t="s">
        <v>0</v>
      </c>
      <c r="B2" s="2">
        <v>19.100000000000001</v>
      </c>
      <c r="C2" s="2">
        <v>95</v>
      </c>
      <c r="D2" s="2">
        <v>100</v>
      </c>
      <c r="E2" s="2">
        <v>95</v>
      </c>
      <c r="F2" s="2">
        <v>9.3520802009618403E-2</v>
      </c>
    </row>
    <row r="3" spans="1:6" x14ac:dyDescent="0.3">
      <c r="A3" s="2" t="s">
        <v>1</v>
      </c>
      <c r="B3" s="2">
        <v>17.8</v>
      </c>
      <c r="C3" s="2">
        <v>86</v>
      </c>
      <c r="D3" s="2">
        <v>100</v>
      </c>
      <c r="E3" s="2">
        <v>95</v>
      </c>
      <c r="F3" s="2">
        <v>9.8606180223889006E-2</v>
      </c>
    </row>
    <row r="4" spans="1:6" x14ac:dyDescent="0.3">
      <c r="A4" s="2" t="s">
        <v>2</v>
      </c>
      <c r="B4" s="2">
        <v>11.2</v>
      </c>
      <c r="C4" s="2">
        <v>90</v>
      </c>
      <c r="D4" s="2">
        <v>100</v>
      </c>
      <c r="E4" s="2">
        <v>85</v>
      </c>
      <c r="F4" s="2">
        <v>0.139199376238926</v>
      </c>
    </row>
    <row r="5" spans="1:6" x14ac:dyDescent="0.3">
      <c r="A5" s="2" t="s">
        <v>3</v>
      </c>
      <c r="B5" s="2">
        <v>15.1</v>
      </c>
      <c r="C5" s="2">
        <v>93</v>
      </c>
      <c r="D5" s="2">
        <v>0</v>
      </c>
      <c r="E5" s="2">
        <v>75</v>
      </c>
      <c r="F5" s="2">
        <v>4.4136727205238202E-2</v>
      </c>
    </row>
    <row r="6" spans="1:6" x14ac:dyDescent="0.3">
      <c r="A6" s="2" t="s">
        <v>4</v>
      </c>
      <c r="B6" s="2">
        <v>16.399999999999999</v>
      </c>
      <c r="C6" s="2">
        <v>88</v>
      </c>
      <c r="D6" s="2">
        <v>100</v>
      </c>
      <c r="E6" s="2">
        <v>60</v>
      </c>
      <c r="F6" s="2">
        <v>9.7897132019471797E-2</v>
      </c>
    </row>
    <row r="7" spans="1:6" x14ac:dyDescent="0.3">
      <c r="A7" s="2" t="s">
        <v>5</v>
      </c>
      <c r="B7" s="2">
        <v>13.5</v>
      </c>
      <c r="C7" s="2">
        <v>99</v>
      </c>
      <c r="D7" s="2">
        <v>100</v>
      </c>
      <c r="E7" s="2">
        <v>85</v>
      </c>
      <c r="F7" s="2">
        <v>0.13069712133997299</v>
      </c>
    </row>
    <row r="8" spans="1:6" x14ac:dyDescent="0.3">
      <c r="A8" s="2" t="s">
        <v>6</v>
      </c>
      <c r="B8" s="2">
        <v>15</v>
      </c>
      <c r="C8" s="2">
        <v>83</v>
      </c>
      <c r="D8" s="2">
        <v>100</v>
      </c>
      <c r="E8" s="2">
        <v>95</v>
      </c>
      <c r="F8" s="2">
        <v>0.11489523362099199</v>
      </c>
    </row>
    <row r="9" spans="1:6" x14ac:dyDescent="0.3">
      <c r="A9" s="2" t="s">
        <v>7</v>
      </c>
      <c r="B9" s="2">
        <v>18.5</v>
      </c>
      <c r="C9" s="2">
        <v>91</v>
      </c>
      <c r="D9" s="2">
        <v>0</v>
      </c>
      <c r="E9" s="2">
        <v>85</v>
      </c>
      <c r="F9" s="2">
        <v>3.0264231324219199E-2</v>
      </c>
    </row>
    <row r="10" spans="1:6" x14ac:dyDescent="0.3">
      <c r="A10" s="2" t="s">
        <v>8</v>
      </c>
      <c r="B10" s="2">
        <v>12.3</v>
      </c>
      <c r="C10" s="2">
        <v>95</v>
      </c>
      <c r="D10" s="2">
        <v>100</v>
      </c>
      <c r="E10" s="2">
        <v>85</v>
      </c>
      <c r="F10" s="2">
        <v>0.13921279469978401</v>
      </c>
    </row>
    <row r="11" spans="1:6" x14ac:dyDescent="0.3">
      <c r="A11" s="2" t="s">
        <v>9</v>
      </c>
      <c r="B11" s="2">
        <v>15.5</v>
      </c>
      <c r="C11" s="2">
        <v>87</v>
      </c>
      <c r="D11" s="2">
        <v>100</v>
      </c>
      <c r="E11" s="2">
        <v>85</v>
      </c>
      <c r="F11" s="2">
        <v>0.11157040131788799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AHP判断矩阵</vt:lpstr>
      <vt:lpstr>AHP综合评分</vt:lpstr>
      <vt:lpstr>topsis综合评分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hszxyyds</dc:creator>
  <cp:lastModifiedBy>修诚 田</cp:lastModifiedBy>
  <dcterms:created xsi:type="dcterms:W3CDTF">2015-06-05T18:19:34Z</dcterms:created>
  <dcterms:modified xsi:type="dcterms:W3CDTF">2024-07-15T04:38:05Z</dcterms:modified>
</cp:coreProperties>
</file>