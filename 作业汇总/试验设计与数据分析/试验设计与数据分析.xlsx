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szxy\Desktop\"/>
    </mc:Choice>
  </mc:AlternateContent>
  <xr:revisionPtr revIDLastSave="0" documentId="13_ncr:1_{30273FD5-1ECE-4DD5-B1A0-86B4C2A759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K15" i="1"/>
  <c r="H17" i="1"/>
  <c r="H16" i="1"/>
  <c r="H15" i="1"/>
  <c r="E17" i="1"/>
  <c r="E16" i="1"/>
  <c r="E15" i="1"/>
  <c r="B17" i="1"/>
  <c r="B16" i="1"/>
  <c r="B15" i="1"/>
  <c r="H4" i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<sst xmlns="http://schemas.openxmlformats.org/spreadsheetml/2006/main" count="22" uniqueCount="20">
  <si>
    <r>
      <t xml:space="preserve">  </t>
    </r>
    <r>
      <rPr>
        <b/>
        <sz val="7.5"/>
        <color rgb="FF000000"/>
        <rFont val="宋体"/>
        <family val="3"/>
        <charset val="134"/>
      </rPr>
      <t>列号</t>
    </r>
    <r>
      <rPr>
        <b/>
        <sz val="7.5"/>
        <color rgb="FF000000"/>
        <rFont val="Arial"/>
        <family val="2"/>
      </rPr>
      <t xml:space="preserve">     </t>
    </r>
  </si>
  <si>
    <t>试验号</t>
  </si>
  <si>
    <t>A</t>
  </si>
  <si>
    <t>B</t>
  </si>
  <si>
    <t>C</t>
  </si>
  <si>
    <t>D</t>
  </si>
  <si>
    <t>纯度</t>
  </si>
  <si>
    <t>回收率</t>
  </si>
  <si>
    <t>综合得分</t>
    <phoneticPr fontId="1" type="noConversion"/>
  </si>
  <si>
    <t>A</t>
    <phoneticPr fontId="1" type="noConversion"/>
  </si>
  <si>
    <t>指标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</si>
  <si>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</si>
  <si>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</si>
  <si>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</si>
  <si>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r>
      <rPr>
        <b/>
        <sz val="16"/>
        <color rgb="FF000000"/>
        <rFont val="等线"/>
        <family val="2"/>
      </rPr>
      <t>指标</t>
    </r>
    <phoneticPr fontId="1" type="noConversion"/>
  </si>
  <si>
    <t>1&gt;3&gt;2</t>
    <phoneticPr fontId="1" type="noConversion"/>
  </si>
  <si>
    <t>3&gt;1&gt;2</t>
    <phoneticPr fontId="1" type="noConversion"/>
  </si>
  <si>
    <t>2&gt;1&gt;3</t>
    <phoneticPr fontId="1" type="noConversion"/>
  </si>
  <si>
    <t>1&gt;2&gt;3</t>
    <phoneticPr fontId="1" type="noConversion"/>
  </si>
  <si>
    <t>结论：A1+B3+C2+D1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</si>
</sst>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rgb="FF000000"/>
      <name val="Arial"/>
      <family val="2"/>
    </font>
    <font>
      <b/>
      <sz val="7.5"/>
      <color rgb="FF000000"/>
      <name val="宋体"/>
      <family val="3"/>
      <charset val="134"/>
    </font>
    <font>
      <b/>
      <sz val="7.5"/>
      <color rgb="FF000000"/>
      <name val="Arial"/>
      <family val="2"/>
    </font>
    <font>
      <sz val="18"/>
      <color theme="1"/>
      <name val="Arial"/>
      <family val="2"/>
    </font>
    <font>
      <b/>
      <sz val="9"/>
      <color rgb="FF000000"/>
      <name val="宋体"/>
      <family val="3"/>
      <charset val="134"/>
    </font>
    <font>
      <b/>
      <sz val="18"/>
      <color rgb="FF000000"/>
      <name val="Arial"/>
      <family val="2"/>
    </font>
    <font>
      <b/>
      <sz val="18"/>
      <color rgb="FF000000"/>
      <name val="宋体"/>
      <family val="3"/>
      <charset val="134"/>
    </font>
    <font>
      <b/>
      <sz val="16"/>
      <color rgb="FF000000"/>
      <name val="Arial"/>
      <family val="2"/>
    </font>
    <font>
      <sz val="14"/>
      <color theme="1"/>
      <name val="等线"/>
      <family val="3"/>
      <charset val="134"/>
      <scheme val="minor"/>
    </font>
    <font>
      <b/>
      <sz val="16"/>
      <color rgb="FF000000"/>
      <name val="等线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 diagonalDown="1">
      <left style="medium">
        <color rgb="FF999999"/>
      </left>
      <right style="medium">
        <color rgb="FF999999"/>
      </right>
      <top style="medium">
        <color rgb="FF999999"/>
      </top>
      <bottom/>
      <diagonal style="thin">
        <color indexed="64"/>
      </diagonal>
    </border>
    <border diagonalDown="1">
      <left style="medium">
        <color rgb="FF999999"/>
      </left>
      <right style="medium">
        <color rgb="FF999999"/>
      </right>
      <top/>
      <bottom/>
      <diagonal style="thin">
        <color indexed="64"/>
      </diagonal>
    </border>
    <border diagonalDown="1">
      <left style="medium">
        <color rgb="FF999999"/>
      </left>
      <right style="medium">
        <color rgb="FF999999"/>
      </right>
      <top/>
      <bottom style="medium">
        <color rgb="FF999999"/>
      </bottom>
      <diagonal style="thin">
        <color indexed="64"/>
      </diagonal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H21" sqref="H21"/>
    </sheetView>
  </sheetViews>
  <sheetFormatPr defaultRowHeight="14" x14ac:dyDescent="0.3"/>
  <cols>
    <col min="5" max="5" width="17.75" bestFit="1" customWidth="1"/>
  </cols>
  <sheetData>
    <row r="1" spans="1:11" ht="25" x14ac:dyDescent="0.3">
      <c r="A1" s="1" t="s">
        <v>0</v>
      </c>
      <c r="B1" s="4">
        <v>1</v>
      </c>
      <c r="C1" s="4">
        <v>2</v>
      </c>
      <c r="D1" s="4">
        <v>3</v>
      </c>
      <c r="E1" s="4">
        <v>4</v>
      </c>
      <c r="F1" s="9" t="s">
        <v>6</v>
      </c>
      <c r="G1" s="9" t="s">
        <v>7</v>
      </c>
      <c r="H1" s="13" t="s">
        <v>8</v>
      </c>
    </row>
    <row r="2" spans="1:11" ht="23" x14ac:dyDescent="0.3">
      <c r="A2" s="2"/>
      <c r="B2" s="5" t="s">
        <v>2</v>
      </c>
      <c r="C2" s="5" t="s">
        <v>3</v>
      </c>
      <c r="D2" s="5" t="s">
        <v>4</v>
      </c>
      <c r="E2" s="5" t="s">
        <v>5</v>
      </c>
      <c r="F2" s="10"/>
      <c r="G2" s="10"/>
      <c r="H2" s="14"/>
    </row>
    <row r="3" spans="1:11" ht="14.5" customHeight="1" thickBot="1" x14ac:dyDescent="0.35">
      <c r="A3" s="3" t="s">
        <v>1</v>
      </c>
      <c r="B3" s="6"/>
      <c r="C3" s="6"/>
      <c r="D3" s="6"/>
      <c r="E3" s="6"/>
      <c r="F3" s="11"/>
      <c r="G3" s="11"/>
      <c r="H3" s="15"/>
    </row>
    <row r="4" spans="1:11" ht="20.5" thickBot="1" x14ac:dyDescent="0.35">
      <c r="A4" s="7">
        <v>1</v>
      </c>
      <c r="B4" s="8">
        <v>1</v>
      </c>
      <c r="C4" s="8">
        <v>1</v>
      </c>
      <c r="D4" s="8">
        <v>1</v>
      </c>
      <c r="E4" s="8">
        <v>1</v>
      </c>
      <c r="F4" s="8">
        <v>17.5</v>
      </c>
      <c r="G4" s="8">
        <v>30</v>
      </c>
      <c r="H4" s="16">
        <f>F4*4+G4</f>
        <v>100</v>
      </c>
    </row>
    <row r="5" spans="1:11" ht="20.5" thickBot="1" x14ac:dyDescent="0.35">
      <c r="A5" s="7">
        <v>2</v>
      </c>
      <c r="B5" s="8">
        <v>1</v>
      </c>
      <c r="C5" s="8">
        <v>2</v>
      </c>
      <c r="D5" s="8">
        <v>2</v>
      </c>
      <c r="E5" s="8">
        <v>2</v>
      </c>
      <c r="F5" s="8">
        <v>12</v>
      </c>
      <c r="G5" s="8">
        <v>41.2</v>
      </c>
      <c r="H5" s="16">
        <f t="shared" ref="H5:H12" si="0">F5*4+G5</f>
        <v>89.2</v>
      </c>
    </row>
    <row r="6" spans="1:11" ht="20.5" thickBot="1" x14ac:dyDescent="0.35">
      <c r="A6" s="7">
        <v>3</v>
      </c>
      <c r="B6" s="8">
        <v>1</v>
      </c>
      <c r="C6" s="8">
        <v>3</v>
      </c>
      <c r="D6" s="8">
        <v>3</v>
      </c>
      <c r="E6" s="8">
        <v>3</v>
      </c>
      <c r="F6" s="8">
        <v>6</v>
      </c>
      <c r="G6" s="8">
        <v>60</v>
      </c>
      <c r="H6" s="16">
        <f t="shared" si="0"/>
        <v>84</v>
      </c>
    </row>
    <row r="7" spans="1:11" ht="20.5" thickBot="1" x14ac:dyDescent="0.35">
      <c r="A7" s="7">
        <v>4</v>
      </c>
      <c r="B7" s="8">
        <v>2</v>
      </c>
      <c r="C7" s="8">
        <v>1</v>
      </c>
      <c r="D7" s="8">
        <v>2</v>
      </c>
      <c r="E7" s="8">
        <v>3</v>
      </c>
      <c r="F7" s="8">
        <v>8</v>
      </c>
      <c r="G7" s="8">
        <v>24.2</v>
      </c>
      <c r="H7" s="16">
        <f t="shared" si="0"/>
        <v>56.2</v>
      </c>
    </row>
    <row r="8" spans="1:11" ht="20.5" thickBot="1" x14ac:dyDescent="0.35">
      <c r="A8" s="7">
        <v>5</v>
      </c>
      <c r="B8" s="8">
        <v>2</v>
      </c>
      <c r="C8" s="8">
        <v>2</v>
      </c>
      <c r="D8" s="8">
        <v>3</v>
      </c>
      <c r="E8" s="8">
        <v>1</v>
      </c>
      <c r="F8" s="8">
        <v>4.5</v>
      </c>
      <c r="G8" s="8">
        <v>51</v>
      </c>
      <c r="H8" s="16">
        <f t="shared" si="0"/>
        <v>69</v>
      </c>
    </row>
    <row r="9" spans="1:11" ht="20.5" thickBot="1" x14ac:dyDescent="0.35">
      <c r="A9" s="7">
        <v>6</v>
      </c>
      <c r="B9" s="8">
        <v>2</v>
      </c>
      <c r="C9" s="8">
        <v>3</v>
      </c>
      <c r="D9" s="8">
        <v>1</v>
      </c>
      <c r="E9" s="8">
        <v>2</v>
      </c>
      <c r="F9" s="8">
        <v>4</v>
      </c>
      <c r="G9" s="8">
        <v>58.4</v>
      </c>
      <c r="H9" s="16">
        <f t="shared" si="0"/>
        <v>74.400000000000006</v>
      </c>
    </row>
    <row r="10" spans="1:11" ht="20.5" thickBot="1" x14ac:dyDescent="0.35">
      <c r="A10" s="7">
        <v>7</v>
      </c>
      <c r="B10" s="8">
        <v>3</v>
      </c>
      <c r="C10" s="8">
        <v>1</v>
      </c>
      <c r="D10" s="8">
        <v>3</v>
      </c>
      <c r="E10" s="8">
        <v>2</v>
      </c>
      <c r="F10" s="8">
        <v>8.5</v>
      </c>
      <c r="G10" s="8">
        <v>31</v>
      </c>
      <c r="H10" s="16">
        <f t="shared" si="0"/>
        <v>65</v>
      </c>
    </row>
    <row r="11" spans="1:11" ht="20.5" thickBot="1" x14ac:dyDescent="0.35">
      <c r="A11" s="7">
        <v>8</v>
      </c>
      <c r="B11" s="8">
        <v>3</v>
      </c>
      <c r="C11" s="8">
        <v>2</v>
      </c>
      <c r="D11" s="8">
        <v>1</v>
      </c>
      <c r="E11" s="8">
        <v>3</v>
      </c>
      <c r="F11" s="8">
        <v>7</v>
      </c>
      <c r="G11" s="8">
        <v>20.5</v>
      </c>
      <c r="H11" s="16">
        <f t="shared" si="0"/>
        <v>48.5</v>
      </c>
    </row>
    <row r="12" spans="1:11" ht="20.5" thickBot="1" x14ac:dyDescent="0.35">
      <c r="A12" s="7">
        <v>9</v>
      </c>
      <c r="B12" s="8">
        <v>3</v>
      </c>
      <c r="C12" s="8">
        <v>3</v>
      </c>
      <c r="D12" s="8">
        <v>2</v>
      </c>
      <c r="E12" s="8">
        <v>1</v>
      </c>
      <c r="F12" s="8">
        <v>4.5</v>
      </c>
      <c r="G12" s="8">
        <v>73.5</v>
      </c>
      <c r="H12" s="16">
        <f t="shared" si="0"/>
        <v>91.5</v>
      </c>
    </row>
    <row r="13" spans="1:11" ht="17.5" x14ac:dyDescent="0.3">
      <c r="A13" s="12"/>
    </row>
    <row r="14" spans="1:11" ht="20" x14ac:dyDescent="0.3">
      <c r="A14" s="17" t="s">
        <v>9</v>
      </c>
      <c r="B14" s="17" t="s">
        <v>10</v>
      </c>
      <c r="D14" s="18" t="s">
        <v>11</v>
      </c>
      <c r="E14" s="18" t="s">
        <v>10</v>
      </c>
      <c r="G14" s="19" t="s">
        <v>12</v>
      </c>
      <c r="H14" s="19" t="s">
        <v>10</v>
      </c>
      <c r="J14" s="20" t="s">
        <v>13</v>
      </c>
      <c r="K14" s="20" t="s">
        <v>14</v>
      </c>
    </row>
    <row r="15" spans="1:11" ht="20" x14ac:dyDescent="0.3">
      <c r="A15" s="17">
        <v>1</v>
      </c>
      <c r="B15" s="17">
        <f>(H4+H5+H6)/3</f>
        <v>91.066666666666663</v>
      </c>
      <c r="D15" s="18">
        <v>1</v>
      </c>
      <c r="E15" s="18">
        <f>(H4+H7+H10)/3</f>
        <v>73.733333333333334</v>
      </c>
      <c r="G15" s="19">
        <v>1</v>
      </c>
      <c r="H15" s="19">
        <f>(H4+H9+H11)/3</f>
        <v>74.3</v>
      </c>
      <c r="J15" s="20">
        <v>1</v>
      </c>
      <c r="K15" s="20">
        <f>(H4+H8+H12)/3</f>
        <v>86.833333333333329</v>
      </c>
    </row>
    <row r="16" spans="1:11" ht="20" x14ac:dyDescent="0.3">
      <c r="A16" s="17">
        <v>2</v>
      </c>
      <c r="B16" s="17">
        <f>(H7+H8+H9)/3</f>
        <v>66.533333333333346</v>
      </c>
      <c r="D16" s="18">
        <v>2</v>
      </c>
      <c r="E16" s="18">
        <f>(H5+H8+H11)/3</f>
        <v>68.899999999999991</v>
      </c>
      <c r="G16" s="19">
        <v>2</v>
      </c>
      <c r="H16" s="19">
        <f>(H5+H7+H12)/3</f>
        <v>78.966666666666669</v>
      </c>
      <c r="J16" s="20">
        <v>2</v>
      </c>
      <c r="K16" s="20">
        <f>(H5+H9+H10)/3</f>
        <v>76.2</v>
      </c>
    </row>
    <row r="17" spans="1:11" ht="20" x14ac:dyDescent="0.3">
      <c r="A17" s="17">
        <v>3</v>
      </c>
      <c r="B17" s="17">
        <f>(H10+H11+H12)/3</f>
        <v>68.333333333333329</v>
      </c>
      <c r="D17" s="18">
        <v>3</v>
      </c>
      <c r="E17" s="18">
        <f>(H6+H9+H12)/3</f>
        <v>83.3</v>
      </c>
      <c r="G17" s="19">
        <v>3</v>
      </c>
      <c r="H17" s="19">
        <f>(H6+H8+H10)/3</f>
        <v>72.666666666666671</v>
      </c>
      <c r="J17" s="20">
        <v>3</v>
      </c>
      <c r="K17" s="20">
        <f>(H6+H7+H11)/3</f>
        <v>62.9</v>
      </c>
    </row>
    <row r="18" spans="1:11" ht="20" x14ac:dyDescent="0.3">
      <c r="A18" s="21" t="s">
        <v>15</v>
      </c>
      <c r="B18" s="21"/>
      <c r="D18" s="21" t="s">
        <v>16</v>
      </c>
      <c r="E18" s="21"/>
      <c r="G18" s="21" t="s">
        <v>17</v>
      </c>
      <c r="H18" s="21"/>
      <c r="J18" s="21" t="s">
        <v>18</v>
      </c>
      <c r="K18" s="21"/>
    </row>
    <row r="21" spans="1:11" ht="100" customHeight="1" x14ac:dyDescent="0.3">
      <c r="B21" s="22" t="s">
        <v>19</v>
      </c>
      <c r="C21" s="22"/>
      <c r="D21" s="22"/>
    </row>
  </sheetData>
  <mergeCells count="8">
    <mergeCell ref="J18:K18"/>
    <mergeCell ref="B21:D21"/>
    <mergeCell ref="F1:F3"/>
    <mergeCell ref="G1:G3"/>
    <mergeCell ref="H1:H3"/>
    <mergeCell ref="A18:B18"/>
    <mergeCell ref="D18:E18"/>
    <mergeCell ref="G18:H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hszxyyds</dc:creator>
  <cp:lastModifiedBy>修诚 田</cp:lastModifiedBy>
  <dcterms:created xsi:type="dcterms:W3CDTF">2015-06-05T18:19:34Z</dcterms:created>
  <dcterms:modified xsi:type="dcterms:W3CDTF">2024-07-09T01:56:06Z</dcterms:modified>
</cp:coreProperties>
</file>